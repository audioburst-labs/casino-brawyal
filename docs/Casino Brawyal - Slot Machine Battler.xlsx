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ilities - Ace" sheetId="1" r:id="rId5"/>
    <sheet state="visible" name="Abilities - Others" sheetId="2" r:id="rId6"/>
    <sheet state="visible" name="Relics" sheetId="3" r:id="rId7"/>
    <sheet state="visible" name="Enemies" sheetId="4" r:id="rId8"/>
    <sheet state="visible" name="Encounters" sheetId="5" r:id="rId9"/>
  </sheets>
  <definedNames/>
  <calcPr/>
</workbook>
</file>

<file path=xl/sharedStrings.xml><?xml version="1.0" encoding="utf-8"?>
<sst xmlns="http://schemas.openxmlformats.org/spreadsheetml/2006/main" count="285" uniqueCount="204">
  <si>
    <t>#</t>
  </si>
  <si>
    <t>Name</t>
  </si>
  <si>
    <t xml:space="preserve">Character </t>
  </si>
  <si>
    <t xml:space="preserve">Effect </t>
  </si>
  <si>
    <t>Ability Name</t>
  </si>
  <si>
    <t>Trigger</t>
  </si>
  <si>
    <t>Cost Min</t>
  </si>
  <si>
    <t>Per Turn</t>
  </si>
  <si>
    <t>Cost Max</t>
  </si>
  <si>
    <t>Per Combat</t>
  </si>
  <si>
    <t>Avg</t>
  </si>
  <si>
    <t>Ability</t>
  </si>
  <si>
    <t>Keyword #1</t>
  </si>
  <si>
    <t xml:space="preserve">Gambler's Pass </t>
  </si>
  <si>
    <t>Keyword #2</t>
  </si>
  <si>
    <t>At the end of each fight, lose 10 gold to get increasingly better rewards.</t>
  </si>
  <si>
    <t>Ace</t>
  </si>
  <si>
    <t>Card Sling</t>
  </si>
  <si>
    <t>Any</t>
  </si>
  <si>
    <t>Deal 10 damage. If Spade - Mark.</t>
  </si>
  <si>
    <r>
      <rPr>
        <rFont val="Arial"/>
        <b/>
        <color theme="1"/>
      </rPr>
      <t>Mark:</t>
    </r>
    <r>
      <rPr>
        <rFont val="Arial"/>
        <color theme="1"/>
      </rPr>
      <t xml:space="preserve"> Enemy is marked. </t>
    </r>
    <r>
      <rPr>
        <rFont val="Arial"/>
        <b/>
        <color theme="1"/>
      </rPr>
      <t>Cash In</t>
    </r>
    <r>
      <rPr>
        <rFont val="Arial"/>
        <color theme="1"/>
      </rPr>
      <t xml:space="preserve"> to deal bonus damage.</t>
    </r>
  </si>
  <si>
    <t>Quick Manuevers</t>
  </si>
  <si>
    <t>Gain 5 Block. If Diamond - Gain 8 instead.</t>
  </si>
  <si>
    <t>Double Down</t>
  </si>
  <si>
    <t>Any + Spade</t>
  </si>
  <si>
    <t>Deal 20 damage. Cash In.</t>
  </si>
  <si>
    <r>
      <rPr>
        <rFont val="Arial"/>
        <b/>
        <color theme="1"/>
      </rPr>
      <t xml:space="preserve">Cash In: </t>
    </r>
    <r>
      <rPr>
        <rFont val="Arial"/>
        <b val="0"/>
        <color theme="1"/>
      </rPr>
      <t>Remove a Mark from an enemy to deal 10 bonus damage.</t>
    </r>
  </si>
  <si>
    <t>Bounty List</t>
  </si>
  <si>
    <t>At the end of each fight, for each enemy killed, gain 5 gold.</t>
  </si>
  <si>
    <t>Spade Dart</t>
  </si>
  <si>
    <t>Spade</t>
  </si>
  <si>
    <t>Deal 10 damage.</t>
  </si>
  <si>
    <t>Lucky Shot</t>
  </si>
  <si>
    <t>Spade's Protection</t>
  </si>
  <si>
    <t>Spade + Clubs</t>
  </si>
  <si>
    <t>When you get a Spade gem, gain 2 Block.</t>
  </si>
  <si>
    <t>Deal 15 to the enemy with the lowest health</t>
  </si>
  <si>
    <t>One from the Sleeve</t>
  </si>
  <si>
    <t>Health Min</t>
  </si>
  <si>
    <t>Heart's Protection</t>
  </si>
  <si>
    <t>Spade x2</t>
  </si>
  <si>
    <t>HeartSteal</t>
  </si>
  <si>
    <t>Deal 10 damage. Deal 10 damage. Deal 10 damage.</t>
  </si>
  <si>
    <t>When you get a Heart gem, gain 2 Block.</t>
  </si>
  <si>
    <t>Health Max</t>
  </si>
  <si>
    <t>Attack #1</t>
  </si>
  <si>
    <t>Heartsteal</t>
  </si>
  <si>
    <t>Spade + Heart</t>
  </si>
  <si>
    <t>Deal 10 damage. Apply Vulnerable 3.</t>
  </si>
  <si>
    <t>Attack #2</t>
  </si>
  <si>
    <t>Club's Protection</t>
  </si>
  <si>
    <t>Vulnerable: Take 25% more damage.</t>
  </si>
  <si>
    <t>When you get a Club gem, gain 2 Block.</t>
  </si>
  <si>
    <t>Any + Heart</t>
  </si>
  <si>
    <t>Attack #3</t>
  </si>
  <si>
    <t>Attack #4</t>
  </si>
  <si>
    <t>Gain 10 Block. Apply Weak 1 to all enemies.</t>
  </si>
  <si>
    <t>Attack #5</t>
  </si>
  <si>
    <t>Diamond's Protection</t>
  </si>
  <si>
    <t>When you get a Diamond gem, gain 2 Block.</t>
  </si>
  <si>
    <t>Attacks Order</t>
  </si>
  <si>
    <r>
      <rPr>
        <rFont val="Arial"/>
        <b/>
        <color theme="1"/>
      </rPr>
      <t xml:space="preserve">Weak X: </t>
    </r>
    <r>
      <rPr>
        <rFont val="Arial"/>
        <b val="0"/>
        <color theme="1"/>
      </rPr>
      <t xml:space="preserve">Enemies deal 25% less damage for the next X turns. </t>
    </r>
  </si>
  <si>
    <t>Keywords #1</t>
  </si>
  <si>
    <t>Keywords #2</t>
  </si>
  <si>
    <t>High Stakes</t>
  </si>
  <si>
    <t>Weak and Vulnerable values are increased to 50%</t>
  </si>
  <si>
    <t>Color Up</t>
  </si>
  <si>
    <t xml:space="preserve">Bouncer </t>
  </si>
  <si>
    <t>High Roller</t>
  </si>
  <si>
    <t>When you roll 3 of the same type, go again.</t>
  </si>
  <si>
    <t>Gain a Spade.</t>
  </si>
  <si>
    <t xml:space="preserve">Deal 10. </t>
  </si>
  <si>
    <t>Deal 5x2.</t>
  </si>
  <si>
    <t>Increase damage by 3. Heal 10.</t>
  </si>
  <si>
    <t>Flush</t>
  </si>
  <si>
    <t>Spade x3</t>
  </si>
  <si>
    <t>1 -&gt; 2 / 2 -&gt;1 , 3</t>
  </si>
  <si>
    <t>Dark Emblem</t>
  </si>
  <si>
    <t>Deal 40 to all enemies.</t>
  </si>
  <si>
    <t>Attacks that require a spade or a club deal 30% more damage.</t>
  </si>
  <si>
    <t>Pocket Rockets</t>
  </si>
  <si>
    <t>Any + Any</t>
  </si>
  <si>
    <t>Deal 20 damage. If both are Aces, Repaet 1.</t>
  </si>
  <si>
    <t xml:space="preserve">Queen </t>
  </si>
  <si>
    <t>Keep Fighting!</t>
  </si>
  <si>
    <t>Heart x2</t>
  </si>
  <si>
    <t>Heal the lowest health ally for 30.</t>
  </si>
  <si>
    <r>
      <rPr>
        <rFont val="Arial"/>
        <b/>
        <color theme="1"/>
      </rPr>
      <t xml:space="preserve">Weak X: </t>
    </r>
    <r>
      <rPr>
        <rFont val="Arial"/>
        <b val="0"/>
        <color theme="1"/>
      </rPr>
      <t xml:space="preserve">Enemies deal 25% less damage for the next X turns. </t>
    </r>
  </si>
  <si>
    <t>Red Emblems</t>
  </si>
  <si>
    <r>
      <rPr>
        <rFont val="Arial"/>
        <b/>
        <color theme="1"/>
      </rPr>
      <t xml:space="preserve">Repeat X: </t>
    </r>
    <r>
      <rPr>
        <rFont val="Arial"/>
        <b val="0"/>
        <color theme="1"/>
      </rPr>
      <t xml:space="preserve">Repeat the previous text on the card X times. </t>
    </r>
  </si>
  <si>
    <t>Attacks that require a heart or a diamond deal 30% more damage.</t>
  </si>
  <si>
    <t>Queen</t>
  </si>
  <si>
    <t>You live for Me!</t>
  </si>
  <si>
    <t>Heart x2 + Spade</t>
  </si>
  <si>
    <t>Deal 30. Heal the lowest health ally for half the damage dealt.</t>
  </si>
  <si>
    <t>Server</t>
  </si>
  <si>
    <t>Slow Playing</t>
  </si>
  <si>
    <t>Deal 15</t>
  </si>
  <si>
    <t>Heart + Diamond</t>
  </si>
  <si>
    <t>Apply Weak 2.</t>
  </si>
  <si>
    <t>Lucky Foot</t>
  </si>
  <si>
    <t>Royal Decree</t>
  </si>
  <si>
    <t>Deal 8X3.</t>
  </si>
  <si>
    <t>When attacked, there's a 10% chance the damage is reduced to 0.</t>
  </si>
  <si>
    <t xml:space="preserve">If this is the only ability used this turn, gain 30 block. </t>
  </si>
  <si>
    <t>random, not the one previously used</t>
  </si>
  <si>
    <t>Give all enemies Vulnerable 2 and Weak 2.</t>
  </si>
  <si>
    <t>Weak: Deal 25% less damage.</t>
  </si>
  <si>
    <t>House Edge</t>
  </si>
  <si>
    <r>
      <rPr>
        <rFont val="Arial"/>
        <b/>
        <color theme="1"/>
      </rPr>
      <t xml:space="preserve">Weak X: </t>
    </r>
    <r>
      <rPr>
        <rFont val="Arial"/>
        <b val="0"/>
        <color theme="1"/>
      </rPr>
      <t xml:space="preserve">Enemies deal 25% less damage for the next X turns. </t>
    </r>
  </si>
  <si>
    <t>Any + Spade + Club</t>
  </si>
  <si>
    <t>At the start of your turn, Mark a random unmarked enemy.</t>
  </si>
  <si>
    <t>"Charming" Personality</t>
  </si>
  <si>
    <t>Heart + Club</t>
  </si>
  <si>
    <t>Dealer</t>
  </si>
  <si>
    <t>Give the lowest health enemy Protect.</t>
  </si>
  <si>
    <t>Protect: Move to the front.</t>
  </si>
  <si>
    <t xml:space="preserve">Raffle cards and deal damage for their value. Keep count of the damage. If it passes 21, negate that attack and stun me this round. </t>
  </si>
  <si>
    <t>Off with their Heads!</t>
  </si>
  <si>
    <t>Heart x3</t>
  </si>
  <si>
    <t>Deal 50. If at 20% health or less, execute it.</t>
  </si>
  <si>
    <r>
      <rPr>
        <rFont val="Arial"/>
        <b/>
        <color theme="1"/>
      </rPr>
      <t>Mark:</t>
    </r>
    <r>
      <rPr>
        <rFont val="Arial"/>
        <color theme="1"/>
      </rPr>
      <t xml:space="preserve"> Enemy is marked. </t>
    </r>
    <r>
      <rPr>
        <rFont val="Arial"/>
        <b/>
        <color theme="1"/>
      </rPr>
      <t>Cash In</t>
    </r>
    <r>
      <rPr>
        <rFont val="Arial"/>
        <color theme="1"/>
      </rPr>
      <t xml:space="preserve"> to deal bonus damage.</t>
    </r>
  </si>
  <si>
    <t>Manager</t>
  </si>
  <si>
    <t>Jack</t>
  </si>
  <si>
    <t>Golden fist</t>
  </si>
  <si>
    <t>Diamond + Spade</t>
  </si>
  <si>
    <t>Deal 20.</t>
  </si>
  <si>
    <t>Deal 15 damage.</t>
  </si>
  <si>
    <t>Apply Vulnurable 3.</t>
  </si>
  <si>
    <t>Bust</t>
  </si>
  <si>
    <t>Spade + Club</t>
  </si>
  <si>
    <t>Summon a Server.</t>
  </si>
  <si>
    <t>Cash In. Deal 30% of the target's missing health.</t>
  </si>
  <si>
    <r>
      <rPr>
        <rFont val="Arial"/>
        <b/>
        <color theme="1"/>
      </rPr>
      <t xml:space="preserve">Cash In: </t>
    </r>
    <r>
      <rPr>
        <rFont val="Arial"/>
        <b val="0"/>
        <color theme="1"/>
      </rPr>
      <t>Remove a Mark from an enemy to deal 10 bonus damage.</t>
    </r>
  </si>
  <si>
    <t>Dazzling Personality</t>
  </si>
  <si>
    <r>
      <rPr>
        <rFont val="Arial"/>
        <b/>
        <color theme="1"/>
      </rPr>
      <t xml:space="preserve">Vulnurable X: </t>
    </r>
    <r>
      <rPr>
        <rFont val="Arial"/>
        <b val="0"/>
        <color theme="1"/>
      </rPr>
      <t xml:space="preserve">Enemies take 25% more damage for the next X turns. </t>
    </r>
  </si>
  <si>
    <t>Any + Heart + Club</t>
  </si>
  <si>
    <t>Mark and apply Weak 3 to all enemies.</t>
  </si>
  <si>
    <t>Charity</t>
  </si>
  <si>
    <t>Diamond + Heart</t>
  </si>
  <si>
    <t>Heal all allies 15. for each overhealed, gain 1 gold.</t>
  </si>
  <si>
    <r>
      <rPr>
        <rFont val="Arial"/>
        <b/>
        <color theme="1"/>
      </rPr>
      <t>Mark:</t>
    </r>
    <r>
      <rPr>
        <rFont val="Arial"/>
        <color theme="1"/>
      </rPr>
      <t xml:space="preserve"> Enemy is marked. </t>
    </r>
    <r>
      <rPr>
        <rFont val="Arial"/>
        <b/>
        <color theme="1"/>
      </rPr>
      <t>Cash In</t>
    </r>
    <r>
      <rPr>
        <rFont val="Arial"/>
        <color theme="1"/>
      </rPr>
      <t xml:space="preserve"> to deal bonus damage.</t>
    </r>
  </si>
  <si>
    <t>Boss</t>
  </si>
  <si>
    <r>
      <rPr>
        <rFont val="Arial"/>
        <b/>
        <color theme="1"/>
      </rPr>
      <t xml:space="preserve">Weak X: </t>
    </r>
    <r>
      <rPr>
        <rFont val="Arial"/>
        <b val="0"/>
        <color theme="1"/>
      </rPr>
      <t xml:space="preserve">Enemies deal 25% less damage for the next X turns. </t>
    </r>
  </si>
  <si>
    <t>Magnetic Armor</t>
  </si>
  <si>
    <t>Diamond</t>
  </si>
  <si>
    <t>Pit Boss</t>
  </si>
  <si>
    <t>Protect. Gain a random coin.</t>
  </si>
  <si>
    <t>Face Reader</t>
  </si>
  <si>
    <t>Any + Diamond</t>
  </si>
  <si>
    <t>Summon 2 Servers.</t>
  </si>
  <si>
    <t xml:space="preserve">At the start of your turn, gain 2 Block per enemy. </t>
  </si>
  <si>
    <t>Deal 10X3.</t>
  </si>
  <si>
    <t>Summon a Bouncer.</t>
  </si>
  <si>
    <t>Heart of Gold</t>
  </si>
  <si>
    <t>Bad Beat</t>
  </si>
  <si>
    <t>Make an Ally attack again.</t>
  </si>
  <si>
    <t>Club + Diamond</t>
  </si>
  <si>
    <t>Diamond x2</t>
  </si>
  <si>
    <t>Heal all allies 30.</t>
  </si>
  <si>
    <t>If no enemy is marked, gain 15 Block.</t>
  </si>
  <si>
    <t>Protect. Heal 30.</t>
  </si>
  <si>
    <t>1 -&gt; 2 / 2 -&gt;1 , 3 , 4 , 5</t>
  </si>
  <si>
    <r>
      <rPr>
        <rFont val="Arial"/>
        <b/>
        <color theme="1"/>
      </rPr>
      <t>Mark:</t>
    </r>
    <r>
      <rPr>
        <rFont val="Arial"/>
        <color theme="1"/>
      </rPr>
      <t xml:space="preserve"> Enemy is marked. </t>
    </r>
    <r>
      <rPr>
        <rFont val="Arial"/>
        <b/>
        <color theme="1"/>
      </rPr>
      <t>Cash In</t>
    </r>
    <r>
      <rPr>
        <rFont val="Arial"/>
        <color theme="1"/>
      </rPr>
      <t xml:space="preserve"> to deal bonus damage.</t>
    </r>
  </si>
  <si>
    <t>On a Roll</t>
  </si>
  <si>
    <t>Jackpot!</t>
  </si>
  <si>
    <t>Deal 10. Cash In. Mark.</t>
  </si>
  <si>
    <t>Diamond x3</t>
  </si>
  <si>
    <t>Gain 5 gold. Heal 50. Go again.</t>
  </si>
  <si>
    <r>
      <rPr>
        <rFont val="Arial"/>
        <b/>
        <color theme="1"/>
      </rPr>
      <t>Mark:</t>
    </r>
    <r>
      <rPr>
        <rFont val="Arial"/>
        <color theme="1"/>
      </rPr>
      <t xml:space="preserve"> Enemy is marked. </t>
    </r>
    <r>
      <rPr>
        <rFont val="Arial"/>
        <b/>
        <color theme="1"/>
      </rPr>
      <t>Cash In</t>
    </r>
    <r>
      <rPr>
        <rFont val="Arial"/>
        <color theme="1"/>
      </rPr>
      <t xml:space="preserve"> to deal bonus damage.</t>
    </r>
  </si>
  <si>
    <r>
      <rPr>
        <rFont val="Arial"/>
        <b/>
        <color theme="1"/>
      </rPr>
      <t xml:space="preserve">Cash In: </t>
    </r>
    <r>
      <rPr>
        <rFont val="Arial"/>
        <b val="0"/>
        <color theme="1"/>
      </rPr>
      <t>Remove a Mark from an enemy to deal 10 bonus damage.</t>
    </r>
  </si>
  <si>
    <t>Die</t>
  </si>
  <si>
    <t>Raise!</t>
  </si>
  <si>
    <t>Clubs</t>
  </si>
  <si>
    <t>Summon a Goumbler.</t>
  </si>
  <si>
    <t>Pay Line</t>
  </si>
  <si>
    <t>Goumbler - Minion, 20 HP, EoT: Deal 7.</t>
  </si>
  <si>
    <t>Spade + Diamond + Heart + Club</t>
  </si>
  <si>
    <t>Minion: Take damage for your summoner unit you die.</t>
  </si>
  <si>
    <t>Deal 30. Go Again.</t>
  </si>
  <si>
    <t>Loaner's Blast</t>
  </si>
  <si>
    <r>
      <rPr>
        <rFont val="Arial"/>
        <b/>
        <color theme="1"/>
      </rPr>
      <t>Go Again:</t>
    </r>
    <r>
      <rPr>
        <rFont val="Arial"/>
        <color theme="1"/>
      </rPr>
      <t xml:space="preserve"> Get an extra turn.</t>
    </r>
  </si>
  <si>
    <t>Clubs + Spade</t>
  </si>
  <si>
    <t>Deal 10 damage. A Goumbler attcks.</t>
  </si>
  <si>
    <t>Boss's Protection</t>
  </si>
  <si>
    <t>Spade x5</t>
  </si>
  <si>
    <t>Clubs x2 + Heart</t>
  </si>
  <si>
    <t>Summon a Goumbler. Give all Goumblers 10 HP.</t>
  </si>
  <si>
    <t>Deal 50 to all enemies.</t>
  </si>
  <si>
    <t>Buyout</t>
  </si>
  <si>
    <t>Clubs + Diamond</t>
  </si>
  <si>
    <t>Spend 2 gold. Summon 2 Goumblers.</t>
  </si>
  <si>
    <t>Army of the Debt</t>
  </si>
  <si>
    <t>Clubs x3</t>
  </si>
  <si>
    <t>Summon 3 Goumblers. They attack immediately.</t>
  </si>
  <si>
    <t>Placement</t>
  </si>
  <si>
    <t>Enemy #1</t>
  </si>
  <si>
    <t>Enemy #2</t>
  </si>
  <si>
    <t>Enemy #3</t>
  </si>
  <si>
    <t>Enemy #4</t>
  </si>
  <si>
    <t>Enemy #5</t>
  </si>
  <si>
    <t>Chips Reward Min</t>
  </si>
  <si>
    <t>Chips Reward Max</t>
  </si>
  <si>
    <t>Bouncer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</si>
</sst>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5.63"/>
    <col customWidth="1" min="5" max="6" width="14.75"/>
    <col customWidth="1" min="7" max="7" width="48.88"/>
    <col customWidth="1" min="8" max="8" width="64.5"/>
    <col customWidth="1" min="9" max="9" width="55.63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14</v>
      </c>
    </row>
    <row r="2">
      <c r="A2" s="1">
        <v>1.0</v>
      </c>
      <c r="B2" s="1" t="s">
        <v>16</v>
      </c>
      <c r="C2" s="1" t="s">
        <v>17</v>
      </c>
      <c r="D2" s="1" t="s">
        <v>18</v>
      </c>
      <c r="E2" s="1"/>
      <c r="F2" s="1"/>
      <c r="G2" s="1" t="s">
        <v>19</v>
      </c>
      <c r="H2" s="1" t="s">
        <v>20</v>
      </c>
    </row>
    <row r="3">
      <c r="A3" s="1">
        <v>2.0</v>
      </c>
      <c r="B3" s="1" t="s">
        <v>16</v>
      </c>
      <c r="C3" s="1" t="s">
        <v>21</v>
      </c>
      <c r="D3" s="1" t="s">
        <v>18</v>
      </c>
      <c r="E3" s="1"/>
      <c r="F3" s="1"/>
      <c r="G3" s="1" t="s">
        <v>22</v>
      </c>
    </row>
    <row r="4">
      <c r="A4" s="1">
        <v>3.0</v>
      </c>
      <c r="B4" s="1" t="s">
        <v>16</v>
      </c>
      <c r="C4" s="1" t="s">
        <v>23</v>
      </c>
      <c r="D4" s="1" t="s">
        <v>24</v>
      </c>
      <c r="E4" s="1"/>
      <c r="F4" s="1"/>
      <c r="G4" s="1" t="s">
        <v>25</v>
      </c>
      <c r="H4" s="2" t="s">
        <v>26</v>
      </c>
    </row>
    <row r="5">
      <c r="A5" s="1">
        <v>4.0</v>
      </c>
      <c r="B5" s="1" t="s">
        <v>16</v>
      </c>
      <c r="C5" s="1" t="s">
        <v>41</v>
      </c>
      <c r="D5" s="1" t="s">
        <v>53</v>
      </c>
      <c r="E5" s="1"/>
      <c r="F5" s="1"/>
      <c r="G5" s="1" t="s">
        <v>56</v>
      </c>
      <c r="H5" s="2" t="s">
        <v>61</v>
      </c>
      <c r="L5" s="2"/>
    </row>
    <row r="6">
      <c r="A6" s="1">
        <v>5.0</v>
      </c>
      <c r="B6" s="1" t="s">
        <v>16</v>
      </c>
      <c r="C6" s="1" t="s">
        <v>66</v>
      </c>
      <c r="D6" s="1" t="s">
        <v>18</v>
      </c>
      <c r="E6" s="1">
        <v>1.0</v>
      </c>
      <c r="F6" s="1"/>
      <c r="G6" s="1" t="s">
        <v>70</v>
      </c>
      <c r="M6" s="2"/>
    </row>
    <row r="7">
      <c r="A7" s="1">
        <v>6.0</v>
      </c>
      <c r="B7" s="1" t="s">
        <v>16</v>
      </c>
      <c r="C7" s="1" t="s">
        <v>80</v>
      </c>
      <c r="D7" s="1" t="s">
        <v>81</v>
      </c>
      <c r="G7" s="1" t="s">
        <v>82</v>
      </c>
      <c r="H7" s="2" t="s">
        <v>89</v>
      </c>
    </row>
    <row r="8">
      <c r="A8" s="1">
        <v>7.0</v>
      </c>
      <c r="B8" s="1" t="s">
        <v>16</v>
      </c>
      <c r="C8" s="1" t="s">
        <v>96</v>
      </c>
      <c r="D8" s="1" t="s">
        <v>98</v>
      </c>
      <c r="E8" s="1">
        <v>1.0</v>
      </c>
      <c r="G8" s="1" t="s">
        <v>104</v>
      </c>
    </row>
    <row r="9">
      <c r="A9" s="1">
        <v>8.0</v>
      </c>
      <c r="B9" s="1" t="s">
        <v>16</v>
      </c>
      <c r="C9" s="1" t="s">
        <v>108</v>
      </c>
      <c r="D9" s="1" t="s">
        <v>110</v>
      </c>
      <c r="G9" s="1" t="s">
        <v>111</v>
      </c>
      <c r="H9" s="1" t="s">
        <v>121</v>
      </c>
      <c r="L9" s="2"/>
    </row>
    <row r="10">
      <c r="A10" s="1">
        <v>9.0</v>
      </c>
      <c r="B10" s="1" t="s">
        <v>16</v>
      </c>
      <c r="C10" s="1" t="s">
        <v>129</v>
      </c>
      <c r="D10" s="1" t="s">
        <v>130</v>
      </c>
      <c r="G10" s="1" t="s">
        <v>132</v>
      </c>
      <c r="H10" s="2" t="s">
        <v>133</v>
      </c>
    </row>
    <row r="11">
      <c r="A11" s="1">
        <v>10.0</v>
      </c>
      <c r="B11" s="1" t="s">
        <v>16</v>
      </c>
      <c r="C11" s="1" t="s">
        <v>134</v>
      </c>
      <c r="D11" s="1" t="s">
        <v>136</v>
      </c>
      <c r="G11" s="1" t="s">
        <v>137</v>
      </c>
      <c r="H11" s="1" t="s">
        <v>141</v>
      </c>
      <c r="I11" s="2" t="s">
        <v>143</v>
      </c>
    </row>
    <row r="12">
      <c r="A12" s="1">
        <v>11.0</v>
      </c>
      <c r="B12" s="1" t="s">
        <v>16</v>
      </c>
      <c r="C12" s="1" t="s">
        <v>148</v>
      </c>
      <c r="D12" s="1" t="s">
        <v>149</v>
      </c>
      <c r="E12" s="1">
        <v>1.0</v>
      </c>
      <c r="G12" s="1" t="s">
        <v>151</v>
      </c>
    </row>
    <row r="13">
      <c r="A13" s="1">
        <v>12.0</v>
      </c>
      <c r="B13" s="1" t="s">
        <v>16</v>
      </c>
      <c r="C13" s="1" t="s">
        <v>155</v>
      </c>
      <c r="D13" s="1" t="s">
        <v>157</v>
      </c>
      <c r="G13" s="1" t="s">
        <v>160</v>
      </c>
      <c r="H13" s="1" t="s">
        <v>163</v>
      </c>
    </row>
    <row r="14">
      <c r="A14" s="1">
        <v>13.0</v>
      </c>
      <c r="B14" s="1" t="s">
        <v>16</v>
      </c>
      <c r="C14" s="1" t="s">
        <v>164</v>
      </c>
      <c r="D14" s="1" t="s">
        <v>110</v>
      </c>
      <c r="G14" s="1" t="s">
        <v>166</v>
      </c>
      <c r="H14" s="1" t="s">
        <v>169</v>
      </c>
      <c r="I14" s="2" t="s">
        <v>170</v>
      </c>
    </row>
    <row r="15">
      <c r="A15" s="1">
        <v>14.0</v>
      </c>
      <c r="B15" s="1" t="s">
        <v>16</v>
      </c>
      <c r="C15" s="1" t="s">
        <v>175</v>
      </c>
      <c r="D15" s="1" t="s">
        <v>177</v>
      </c>
      <c r="E15" s="1"/>
      <c r="F15" s="1"/>
      <c r="G15" s="1" t="s">
        <v>179</v>
      </c>
      <c r="H15" s="1" t="s">
        <v>181</v>
      </c>
    </row>
    <row r="16">
      <c r="A16" s="1">
        <v>15.0</v>
      </c>
      <c r="B16" s="1" t="s">
        <v>16</v>
      </c>
      <c r="C16" s="1" t="s">
        <v>74</v>
      </c>
      <c r="D16" s="1" t="s">
        <v>185</v>
      </c>
      <c r="E16" s="1"/>
      <c r="F16" s="1"/>
      <c r="G16" s="1" t="s">
        <v>188</v>
      </c>
    </row>
    <row r="18"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  <c r="I2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2.38"/>
    <col customWidth="1" min="5" max="5" width="47.13"/>
    <col customWidth="1" min="6" max="6" width="38.75"/>
    <col customWidth="1" min="7" max="7" width="43.2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</row>
    <row r="2">
      <c r="A2" s="1">
        <v>1.0</v>
      </c>
      <c r="B2" s="1" t="s">
        <v>16</v>
      </c>
      <c r="C2" s="1" t="s">
        <v>29</v>
      </c>
      <c r="D2" s="1" t="s">
        <v>30</v>
      </c>
      <c r="E2" s="1" t="s">
        <v>31</v>
      </c>
    </row>
    <row r="3">
      <c r="A3" s="1">
        <v>2.0</v>
      </c>
      <c r="B3" s="1" t="s">
        <v>16</v>
      </c>
      <c r="C3" s="1" t="s">
        <v>32</v>
      </c>
      <c r="D3" s="1" t="s">
        <v>34</v>
      </c>
      <c r="E3" s="1" t="s">
        <v>36</v>
      </c>
    </row>
    <row r="4">
      <c r="A4" s="1">
        <v>3.0</v>
      </c>
      <c r="B4" s="1" t="s">
        <v>16</v>
      </c>
      <c r="C4" s="1" t="s">
        <v>37</v>
      </c>
      <c r="D4" s="1" t="s">
        <v>40</v>
      </c>
      <c r="E4" s="1" t="s">
        <v>42</v>
      </c>
    </row>
    <row r="5">
      <c r="A5" s="1">
        <v>4.0</v>
      </c>
      <c r="B5" s="1" t="s">
        <v>16</v>
      </c>
      <c r="C5" s="1" t="s">
        <v>46</v>
      </c>
      <c r="D5" s="1" t="s">
        <v>47</v>
      </c>
      <c r="E5" s="1" t="s">
        <v>48</v>
      </c>
      <c r="F5" s="1" t="s">
        <v>51</v>
      </c>
    </row>
    <row r="6">
      <c r="A6" s="1">
        <v>5.0</v>
      </c>
      <c r="B6" s="1" t="s">
        <v>16</v>
      </c>
      <c r="C6" s="1" t="s">
        <v>74</v>
      </c>
      <c r="D6" s="1" t="s">
        <v>75</v>
      </c>
      <c r="E6" s="1" t="s">
        <v>78</v>
      </c>
    </row>
    <row r="7">
      <c r="A7" s="1">
        <v>6.0</v>
      </c>
      <c r="B7" s="1" t="s">
        <v>83</v>
      </c>
      <c r="C7" s="1" t="s">
        <v>84</v>
      </c>
      <c r="D7" s="1" t="s">
        <v>85</v>
      </c>
      <c r="E7" s="1" t="s">
        <v>86</v>
      </c>
    </row>
    <row r="8">
      <c r="A8" s="1">
        <v>7.0</v>
      </c>
      <c r="B8" s="1" t="s">
        <v>91</v>
      </c>
      <c r="C8" s="1" t="s">
        <v>92</v>
      </c>
      <c r="D8" s="1" t="s">
        <v>93</v>
      </c>
      <c r="E8" s="1" t="s">
        <v>94</v>
      </c>
    </row>
    <row r="9">
      <c r="A9" s="1">
        <v>8.0</v>
      </c>
      <c r="B9" s="1" t="s">
        <v>91</v>
      </c>
      <c r="C9" s="1" t="s">
        <v>101</v>
      </c>
      <c r="D9" s="1" t="s">
        <v>98</v>
      </c>
      <c r="E9" s="1" t="s">
        <v>106</v>
      </c>
      <c r="F9" s="1" t="s">
        <v>51</v>
      </c>
      <c r="G9" s="1" t="s">
        <v>107</v>
      </c>
    </row>
    <row r="10">
      <c r="A10" s="1">
        <v>9.0</v>
      </c>
      <c r="B10" s="1" t="s">
        <v>91</v>
      </c>
      <c r="C10" s="1" t="s">
        <v>112</v>
      </c>
      <c r="D10" s="1" t="s">
        <v>113</v>
      </c>
      <c r="E10" s="1" t="s">
        <v>115</v>
      </c>
      <c r="F10" s="1" t="s">
        <v>116</v>
      </c>
    </row>
    <row r="11">
      <c r="A11" s="1">
        <v>10.0</v>
      </c>
      <c r="B11" s="1" t="s">
        <v>91</v>
      </c>
      <c r="C11" s="1" t="s">
        <v>118</v>
      </c>
      <c r="D11" s="1" t="s">
        <v>119</v>
      </c>
      <c r="E11" s="1" t="s">
        <v>120</v>
      </c>
    </row>
    <row r="12">
      <c r="A12" s="1">
        <v>11.0</v>
      </c>
      <c r="B12" s="1" t="s">
        <v>123</v>
      </c>
      <c r="C12" s="1" t="s">
        <v>124</v>
      </c>
      <c r="D12" s="1" t="s">
        <v>125</v>
      </c>
      <c r="E12" s="1" t="s">
        <v>127</v>
      </c>
    </row>
    <row r="13">
      <c r="A13" s="1">
        <v>12.0</v>
      </c>
      <c r="B13" s="1" t="s">
        <v>123</v>
      </c>
      <c r="C13" s="1" t="s">
        <v>138</v>
      </c>
      <c r="D13" s="1" t="s">
        <v>139</v>
      </c>
      <c r="E13" s="1" t="s">
        <v>140</v>
      </c>
    </row>
    <row r="14">
      <c r="A14" s="1">
        <v>13.0</v>
      </c>
      <c r="B14" s="1" t="s">
        <v>123</v>
      </c>
      <c r="C14" s="1" t="s">
        <v>144</v>
      </c>
      <c r="D14" s="1" t="s">
        <v>145</v>
      </c>
      <c r="E14" s="1" t="s">
        <v>147</v>
      </c>
      <c r="F14" s="1" t="s">
        <v>116</v>
      </c>
    </row>
    <row r="15">
      <c r="A15" s="1">
        <v>14.0</v>
      </c>
      <c r="B15" s="1" t="s">
        <v>123</v>
      </c>
      <c r="C15" s="1" t="s">
        <v>154</v>
      </c>
      <c r="D15" s="1" t="s">
        <v>158</v>
      </c>
      <c r="E15" s="1" t="s">
        <v>161</v>
      </c>
      <c r="F15" s="1" t="s">
        <v>116</v>
      </c>
    </row>
    <row r="16">
      <c r="A16" s="1">
        <v>15.0</v>
      </c>
      <c r="B16" s="1" t="s">
        <v>123</v>
      </c>
      <c r="C16" s="1" t="s">
        <v>165</v>
      </c>
      <c r="D16" s="1" t="s">
        <v>167</v>
      </c>
      <c r="E16" s="1" t="s">
        <v>168</v>
      </c>
    </row>
    <row r="17">
      <c r="A17" s="1">
        <v>16.0</v>
      </c>
      <c r="B17" s="1" t="s">
        <v>171</v>
      </c>
      <c r="C17" s="1" t="s">
        <v>172</v>
      </c>
      <c r="D17" s="1" t="s">
        <v>173</v>
      </c>
      <c r="E17" s="1" t="s">
        <v>174</v>
      </c>
      <c r="F17" s="1" t="s">
        <v>176</v>
      </c>
      <c r="G17" s="1" t="s">
        <v>178</v>
      </c>
    </row>
    <row r="18">
      <c r="A18" s="1">
        <v>17.0</v>
      </c>
      <c r="B18" s="1" t="s">
        <v>171</v>
      </c>
      <c r="C18" s="1" t="s">
        <v>180</v>
      </c>
      <c r="D18" s="1" t="s">
        <v>182</v>
      </c>
      <c r="E18" s="1" t="s">
        <v>183</v>
      </c>
      <c r="F18" s="1"/>
    </row>
    <row r="19">
      <c r="A19" s="1">
        <v>18.0</v>
      </c>
      <c r="B19" s="1" t="s">
        <v>171</v>
      </c>
      <c r="C19" s="1" t="s">
        <v>184</v>
      </c>
      <c r="D19" s="1" t="s">
        <v>186</v>
      </c>
      <c r="E19" s="1" t="s">
        <v>187</v>
      </c>
      <c r="F19" s="1" t="s">
        <v>176</v>
      </c>
    </row>
    <row r="20">
      <c r="A20" s="1">
        <v>19.0</v>
      </c>
      <c r="B20" s="1" t="s">
        <v>171</v>
      </c>
      <c r="C20" s="1" t="s">
        <v>189</v>
      </c>
      <c r="D20" s="1" t="s">
        <v>190</v>
      </c>
      <c r="E20" s="1" t="s">
        <v>191</v>
      </c>
      <c r="F20" s="1" t="s">
        <v>176</v>
      </c>
    </row>
    <row r="21">
      <c r="A21" s="1">
        <v>20.0</v>
      </c>
      <c r="B21" s="1" t="s">
        <v>171</v>
      </c>
      <c r="C21" s="1" t="s">
        <v>192</v>
      </c>
      <c r="D21" s="1" t="s">
        <v>193</v>
      </c>
      <c r="E21" s="1" t="s">
        <v>194</v>
      </c>
      <c r="F21" s="1" t="s">
        <v>176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55.13"/>
  </cols>
  <sheetData>
    <row r="1">
      <c r="A1" s="1" t="s">
        <v>0</v>
      </c>
      <c r="B1" s="1" t="s">
        <v>1</v>
      </c>
      <c r="C1" s="1" t="s">
        <v>3</v>
      </c>
      <c r="D1" s="1" t="s">
        <v>6</v>
      </c>
      <c r="E1" s="1" t="s">
        <v>8</v>
      </c>
      <c r="F1" s="1" t="s">
        <v>10</v>
      </c>
    </row>
    <row r="2">
      <c r="A2" s="1">
        <v>1.0</v>
      </c>
      <c r="B2" s="1" t="s">
        <v>13</v>
      </c>
      <c r="C2" s="1" t="s">
        <v>15</v>
      </c>
      <c r="D2" s="1">
        <f t="shared" ref="D2:D12" si="1">ROUND(F2-3,0)</f>
        <v>17</v>
      </c>
      <c r="E2" s="1">
        <f t="shared" ref="E2:E12" si="2">ROUND(F2+3,0)</f>
        <v>23</v>
      </c>
      <c r="F2" s="1">
        <v>20.0</v>
      </c>
    </row>
    <row r="3">
      <c r="A3" s="1">
        <v>2.0</v>
      </c>
      <c r="B3" s="1" t="s">
        <v>27</v>
      </c>
      <c r="C3" s="1" t="s">
        <v>28</v>
      </c>
      <c r="D3" s="1">
        <f t="shared" si="1"/>
        <v>17</v>
      </c>
      <c r="E3" s="1">
        <f t="shared" si="2"/>
        <v>23</v>
      </c>
      <c r="F3" s="1">
        <v>20.0</v>
      </c>
    </row>
    <row r="4">
      <c r="A4" s="1">
        <v>3.0</v>
      </c>
      <c r="B4" s="1" t="s">
        <v>33</v>
      </c>
      <c r="C4" s="1" t="s">
        <v>35</v>
      </c>
      <c r="D4" s="1">
        <f t="shared" si="1"/>
        <v>22</v>
      </c>
      <c r="E4" s="1">
        <f t="shared" si="2"/>
        <v>28</v>
      </c>
      <c r="F4" s="1">
        <v>25.0</v>
      </c>
    </row>
    <row r="5">
      <c r="A5" s="1">
        <v>4.0</v>
      </c>
      <c r="B5" s="1" t="s">
        <v>39</v>
      </c>
      <c r="C5" s="1" t="s">
        <v>43</v>
      </c>
      <c r="D5" s="1">
        <f t="shared" si="1"/>
        <v>22</v>
      </c>
      <c r="E5" s="1">
        <f t="shared" si="2"/>
        <v>28</v>
      </c>
      <c r="F5" s="1">
        <v>25.0</v>
      </c>
    </row>
    <row r="6">
      <c r="A6" s="1">
        <v>5.0</v>
      </c>
      <c r="B6" s="1" t="s">
        <v>50</v>
      </c>
      <c r="C6" s="1" t="s">
        <v>52</v>
      </c>
      <c r="D6" s="1">
        <f t="shared" si="1"/>
        <v>22</v>
      </c>
      <c r="E6" s="1">
        <f t="shared" si="2"/>
        <v>28</v>
      </c>
      <c r="F6" s="1">
        <v>25.0</v>
      </c>
    </row>
    <row r="7">
      <c r="A7" s="1">
        <v>6.0</v>
      </c>
      <c r="B7" s="1" t="s">
        <v>58</v>
      </c>
      <c r="C7" s="1" t="s">
        <v>59</v>
      </c>
      <c r="D7" s="1">
        <f t="shared" si="1"/>
        <v>22</v>
      </c>
      <c r="E7" s="1">
        <f t="shared" si="2"/>
        <v>28</v>
      </c>
      <c r="F7" s="1">
        <v>25.0</v>
      </c>
    </row>
    <row r="8">
      <c r="A8" s="1">
        <v>7.0</v>
      </c>
      <c r="B8" s="1" t="s">
        <v>64</v>
      </c>
      <c r="C8" s="1" t="s">
        <v>65</v>
      </c>
      <c r="D8" s="1">
        <f t="shared" si="1"/>
        <v>17</v>
      </c>
      <c r="E8" s="1">
        <f t="shared" si="2"/>
        <v>23</v>
      </c>
      <c r="F8" s="1">
        <v>20.0</v>
      </c>
    </row>
    <row r="9">
      <c r="A9" s="1">
        <v>8.0</v>
      </c>
      <c r="B9" s="1" t="s">
        <v>68</v>
      </c>
      <c r="C9" s="1" t="s">
        <v>69</v>
      </c>
      <c r="D9" s="1">
        <f t="shared" si="1"/>
        <v>27</v>
      </c>
      <c r="E9" s="1">
        <f t="shared" si="2"/>
        <v>33</v>
      </c>
      <c r="F9" s="1">
        <v>30.0</v>
      </c>
    </row>
    <row r="10">
      <c r="A10" s="1">
        <v>9.0</v>
      </c>
      <c r="B10" s="1" t="s">
        <v>77</v>
      </c>
      <c r="C10" s="1" t="s">
        <v>79</v>
      </c>
      <c r="D10" s="1">
        <f t="shared" si="1"/>
        <v>32</v>
      </c>
      <c r="E10" s="1">
        <f t="shared" si="2"/>
        <v>38</v>
      </c>
      <c r="F10" s="1">
        <v>35.0</v>
      </c>
    </row>
    <row r="11">
      <c r="A11" s="1">
        <v>10.0</v>
      </c>
      <c r="B11" s="1" t="s">
        <v>88</v>
      </c>
      <c r="C11" s="1" t="s">
        <v>90</v>
      </c>
      <c r="D11" s="1">
        <f t="shared" si="1"/>
        <v>32</v>
      </c>
      <c r="E11" s="1">
        <f t="shared" si="2"/>
        <v>38</v>
      </c>
      <c r="F11" s="1">
        <v>35.0</v>
      </c>
    </row>
    <row r="12">
      <c r="A12" s="1">
        <v>11.0</v>
      </c>
      <c r="B12" s="1" t="s">
        <v>100</v>
      </c>
      <c r="C12" s="1" t="s">
        <v>103</v>
      </c>
      <c r="D12" s="1">
        <f t="shared" si="1"/>
        <v>22</v>
      </c>
      <c r="E12" s="1">
        <f t="shared" si="2"/>
        <v>28</v>
      </c>
      <c r="F12" s="1">
        <v>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13"/>
    <col customWidth="1" min="6" max="7" width="25.25"/>
    <col customWidth="1" min="8" max="8" width="26.88"/>
    <col customWidth="1" min="9" max="10" width="32.5"/>
    <col customWidth="1" min="11" max="11" width="63.63"/>
    <col customWidth="1" min="12" max="12" width="38.13"/>
  </cols>
  <sheetData>
    <row r="1">
      <c r="A1" s="1" t="s">
        <v>0</v>
      </c>
      <c r="B1" s="1" t="s">
        <v>1</v>
      </c>
      <c r="C1" s="1" t="s">
        <v>38</v>
      </c>
      <c r="D1" s="1" t="s">
        <v>44</v>
      </c>
      <c r="E1" s="1" t="s">
        <v>45</v>
      </c>
      <c r="F1" s="1" t="s">
        <v>49</v>
      </c>
      <c r="G1" s="1" t="s">
        <v>54</v>
      </c>
      <c r="H1" s="1" t="s">
        <v>55</v>
      </c>
      <c r="I1" s="1" t="s">
        <v>57</v>
      </c>
      <c r="J1" s="1" t="s">
        <v>60</v>
      </c>
      <c r="K1" s="1" t="s">
        <v>62</v>
      </c>
      <c r="L1" s="1" t="s">
        <v>63</v>
      </c>
    </row>
    <row r="2">
      <c r="A2" s="1">
        <v>1.0</v>
      </c>
      <c r="B2" s="1" t="s">
        <v>67</v>
      </c>
      <c r="C2" s="1">
        <v>95.0</v>
      </c>
      <c r="D2" s="1">
        <v>105.0</v>
      </c>
      <c r="E2" s="1" t="s">
        <v>71</v>
      </c>
      <c r="F2" s="1" t="s">
        <v>72</v>
      </c>
      <c r="G2" s="1" t="s">
        <v>73</v>
      </c>
      <c r="J2" s="1" t="s">
        <v>76</v>
      </c>
      <c r="K2" s="2" t="s">
        <v>87</v>
      </c>
    </row>
    <row r="3">
      <c r="A3" s="1">
        <v>2.0</v>
      </c>
      <c r="B3" s="1" t="s">
        <v>95</v>
      </c>
      <c r="C3" s="1">
        <v>45.0</v>
      </c>
      <c r="D3" s="1">
        <v>55.0</v>
      </c>
      <c r="E3" s="1" t="s">
        <v>97</v>
      </c>
      <c r="F3" s="1" t="s">
        <v>99</v>
      </c>
      <c r="G3" s="1" t="s">
        <v>102</v>
      </c>
      <c r="J3" s="1" t="s">
        <v>105</v>
      </c>
      <c r="K3" s="2" t="s">
        <v>109</v>
      </c>
    </row>
    <row r="4">
      <c r="A4" s="1">
        <v>3.0</v>
      </c>
      <c r="B4" s="1" t="s">
        <v>114</v>
      </c>
      <c r="C4" s="1">
        <v>45.0</v>
      </c>
      <c r="D4" s="1">
        <v>55.0</v>
      </c>
      <c r="E4" s="1" t="s">
        <v>117</v>
      </c>
      <c r="J4" s="1">
        <v>1.0</v>
      </c>
    </row>
    <row r="5">
      <c r="A5" s="1">
        <v>4.0</v>
      </c>
      <c r="B5" s="1" t="s">
        <v>122</v>
      </c>
      <c r="C5" s="1">
        <v>63.0</v>
      </c>
      <c r="D5" s="1">
        <v>77.0</v>
      </c>
      <c r="E5" s="1" t="s">
        <v>126</v>
      </c>
      <c r="F5" s="1" t="s">
        <v>128</v>
      </c>
      <c r="G5" s="1" t="s">
        <v>131</v>
      </c>
      <c r="J5" s="1" t="s">
        <v>76</v>
      </c>
      <c r="K5" s="2" t="s">
        <v>135</v>
      </c>
    </row>
    <row r="7">
      <c r="A7" s="2" t="s">
        <v>142</v>
      </c>
    </row>
    <row r="8">
      <c r="A8" s="1">
        <v>1.0</v>
      </c>
      <c r="B8" s="1" t="s">
        <v>146</v>
      </c>
      <c r="C8" s="1">
        <v>190.0</v>
      </c>
      <c r="D8" s="1">
        <v>210.0</v>
      </c>
      <c r="E8" s="1" t="s">
        <v>150</v>
      </c>
      <c r="F8" s="1" t="s">
        <v>152</v>
      </c>
      <c r="G8" s="1" t="s">
        <v>153</v>
      </c>
      <c r="H8" s="1" t="s">
        <v>156</v>
      </c>
      <c r="I8" s="1" t="s">
        <v>159</v>
      </c>
      <c r="J8" s="1" t="s">
        <v>162</v>
      </c>
    </row>
  </sheetData>
  <mergeCells count="1">
    <mergeCell ref="E4:I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14.63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10</v>
      </c>
    </row>
    <row r="2">
      <c r="A2" s="1">
        <v>1.0</v>
      </c>
      <c r="B2" s="1">
        <v>1.0</v>
      </c>
      <c r="C2" s="1" t="s">
        <v>203</v>
      </c>
      <c r="H2" s="1">
        <f t="shared" ref="H2:H10" si="1">ROUND(J2-3,0)</f>
        <v>17</v>
      </c>
      <c r="I2" s="1">
        <f t="shared" ref="I2:I10" si="2">ROUND(J2+3,0)</f>
        <v>23</v>
      </c>
      <c r="J2" s="1">
        <v>20.0</v>
      </c>
    </row>
    <row r="3">
      <c r="A3" s="1">
        <v>2.0</v>
      </c>
      <c r="B3" s="1">
        <v>2.0</v>
      </c>
      <c r="C3" s="1" t="s">
        <v>203</v>
      </c>
      <c r="D3" s="1" t="s">
        <v>95</v>
      </c>
      <c r="E3" s="1" t="s">
        <v>95</v>
      </c>
      <c r="H3" s="1">
        <f t="shared" si="1"/>
        <v>22</v>
      </c>
      <c r="I3" s="1">
        <f t="shared" si="2"/>
        <v>28</v>
      </c>
      <c r="J3" s="1">
        <v>25.0</v>
      </c>
    </row>
    <row r="4">
      <c r="A4" s="1">
        <v>3.0</v>
      </c>
      <c r="B4" s="1">
        <v>2.0</v>
      </c>
      <c r="C4" s="1" t="s">
        <v>203</v>
      </c>
      <c r="D4" s="1" t="s">
        <v>203</v>
      </c>
      <c r="H4" s="1">
        <f t="shared" si="1"/>
        <v>27</v>
      </c>
      <c r="I4" s="1">
        <f t="shared" si="2"/>
        <v>33</v>
      </c>
      <c r="J4" s="1">
        <v>30.0</v>
      </c>
    </row>
    <row r="5">
      <c r="A5" s="1">
        <v>4.0</v>
      </c>
      <c r="B5" s="1">
        <v>3.0</v>
      </c>
      <c r="C5" s="1" t="s">
        <v>114</v>
      </c>
      <c r="D5" s="1" t="s">
        <v>114</v>
      </c>
      <c r="E5" s="1" t="s">
        <v>114</v>
      </c>
      <c r="H5" s="1">
        <f t="shared" si="1"/>
        <v>32</v>
      </c>
      <c r="I5" s="1">
        <f t="shared" si="2"/>
        <v>38</v>
      </c>
      <c r="J5" s="1">
        <v>35.0</v>
      </c>
    </row>
    <row r="6">
      <c r="A6" s="1">
        <v>5.0</v>
      </c>
      <c r="B6" s="1">
        <v>3.0</v>
      </c>
      <c r="C6" s="1" t="s">
        <v>114</v>
      </c>
      <c r="D6" s="1" t="s">
        <v>114</v>
      </c>
      <c r="E6" s="1" t="s">
        <v>114</v>
      </c>
      <c r="H6" s="1">
        <f t="shared" si="1"/>
        <v>37</v>
      </c>
      <c r="I6" s="1">
        <f t="shared" si="2"/>
        <v>43</v>
      </c>
      <c r="J6" s="1">
        <v>40.0</v>
      </c>
    </row>
    <row r="7">
      <c r="A7" s="1">
        <v>6.0</v>
      </c>
      <c r="B7" s="1">
        <v>4.0</v>
      </c>
      <c r="C7" s="1" t="s">
        <v>203</v>
      </c>
      <c r="D7" s="1" t="s">
        <v>122</v>
      </c>
      <c r="H7" s="1">
        <f t="shared" si="1"/>
        <v>42</v>
      </c>
      <c r="I7" s="1">
        <f t="shared" si="2"/>
        <v>48</v>
      </c>
      <c r="J7" s="1">
        <v>45.0</v>
      </c>
    </row>
    <row r="8">
      <c r="A8" s="1">
        <v>7.0</v>
      </c>
      <c r="B8" s="1">
        <v>4.0</v>
      </c>
      <c r="C8" s="1" t="s">
        <v>203</v>
      </c>
      <c r="D8" s="1" t="s">
        <v>95</v>
      </c>
      <c r="E8" s="1" t="s">
        <v>95</v>
      </c>
      <c r="F8" s="1" t="s">
        <v>114</v>
      </c>
      <c r="H8" s="1">
        <f t="shared" si="1"/>
        <v>47</v>
      </c>
      <c r="I8" s="1">
        <f t="shared" si="2"/>
        <v>53</v>
      </c>
      <c r="J8" s="1">
        <v>50.0</v>
      </c>
    </row>
    <row r="9">
      <c r="A9" s="1">
        <v>8.0</v>
      </c>
      <c r="B9" s="1">
        <v>5.0</v>
      </c>
      <c r="C9" s="1" t="s">
        <v>95</v>
      </c>
      <c r="D9" s="1" t="s">
        <v>95</v>
      </c>
      <c r="E9" s="1" t="s">
        <v>122</v>
      </c>
      <c r="F9" s="1" t="s">
        <v>95</v>
      </c>
      <c r="H9" s="1">
        <f t="shared" si="1"/>
        <v>52</v>
      </c>
      <c r="I9" s="1">
        <f t="shared" si="2"/>
        <v>58</v>
      </c>
      <c r="J9" s="1">
        <v>55.0</v>
      </c>
    </row>
    <row r="10">
      <c r="A10" s="1">
        <v>9.0</v>
      </c>
      <c r="B10" s="1">
        <v>5.0</v>
      </c>
      <c r="C10" s="1" t="s">
        <v>114</v>
      </c>
      <c r="D10" s="1" t="s">
        <v>114</v>
      </c>
      <c r="E10" s="1" t="s">
        <v>114</v>
      </c>
      <c r="F10" s="1" t="s">
        <v>114</v>
      </c>
      <c r="G10" s="1" t="s">
        <v>114</v>
      </c>
      <c r="H10" s="1">
        <f t="shared" si="1"/>
        <v>57</v>
      </c>
      <c r="I10" s="1">
        <f t="shared" si="2"/>
        <v>63</v>
      </c>
      <c r="J10" s="1">
        <v>60.0</v>
      </c>
    </row>
    <row r="11">
      <c r="A11" s="1">
        <v>10.0</v>
      </c>
      <c r="B11" s="1">
        <v>6.0</v>
      </c>
      <c r="C11" s="1" t="s">
        <v>146</v>
      </c>
    </row>
  </sheetData>
  <drawing r:id="rId1"/>
</worksheet>
</file>